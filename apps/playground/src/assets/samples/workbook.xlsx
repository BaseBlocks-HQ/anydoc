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C:\Help\Apryse\Git\webviewer-showcase\public\gallery\"/>
    </mc:Choice>
  </mc:AlternateContent>
  <xr:revisionPtr revIDLastSave="0" documentId="8_{4CBC0D26-05F3-43AA-8D1A-2C9274E80A24}" xr6:coauthVersionLast="47" xr6:coauthVersionMax="47" xr10:uidLastSave="{00000000-0000-0000-0000-000000000000}"/>
  <bookViews>
    <workbookView xWindow="-28920" yWindow="-90" windowWidth="29040" windowHeight="16440" tabRatio="500" xr2:uid="{00000000-000D-0000-FFFF-FFFF00000000}"/>
  </bookViews>
  <sheets>
    <sheet name="Event Revenue" sheetId="3" r:id="rId1"/>
  </sheets>
  <externalReferences>
    <externalReference r:id="rId2"/>
    <externalReference r:id="rId3"/>
    <externalReference r:id="rId4"/>
    <externalReference r:id="rId5"/>
  </externalReferences>
  <definedNames>
    <definedName name="ASF">'[1]Maintenance Work Order'!#REF!</definedName>
    <definedName name="CORE_SF">'[2]ISO 27002 Info Security Check'!#REF!</definedName>
    <definedName name="Priority">#REF!</definedName>
    <definedName name="Status">'[3]Dropdown Keys - Do Not Delete -'!#REF!</definedName>
    <definedName name="Type">#REF!</definedName>
    <definedName name="type1">'[4]Risk Assessment &amp; Control'!#REF!</definedName>
    <definedName name="YesNo">'[3]Dropdown Keys - Do Not Delete -'!#REF!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7" i="3" l="1"/>
  <c r="G7" i="3"/>
  <c r="F8" i="3"/>
  <c r="G8" i="3"/>
  <c r="F9" i="3"/>
  <c r="G9" i="3"/>
  <c r="F10" i="3"/>
  <c r="G10" i="3"/>
  <c r="F11" i="3"/>
  <c r="G11" i="3"/>
  <c r="G6" i="3"/>
  <c r="F6" i="3"/>
  <c r="C2" i="3" l="1"/>
  <c r="C3" i="3"/>
</calcChain>
</file>

<file path=xl/sharedStrings.xml><?xml version="1.0" encoding="utf-8"?>
<sst xmlns="http://schemas.openxmlformats.org/spreadsheetml/2006/main" count="15" uniqueCount="15">
  <si>
    <t>Other</t>
  </si>
  <si>
    <t>Vendors</t>
  </si>
  <si>
    <t>Sponsor / Partnerships</t>
  </si>
  <si>
    <t>Program Ads</t>
  </si>
  <si>
    <t>Ticket Sales</t>
  </si>
  <si>
    <t>Product Sales</t>
  </si>
  <si>
    <t>Event Revenue</t>
  </si>
  <si>
    <t>Projected</t>
  </si>
  <si>
    <t>Actual</t>
  </si>
  <si>
    <t>Category</t>
  </si>
  <si>
    <t>Cost</t>
  </si>
  <si>
    <t>Projected Total</t>
  </si>
  <si>
    <t>Actual Total</t>
  </si>
  <si>
    <t>Projected Subtotal</t>
  </si>
  <si>
    <t>Actual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</si>
</sst>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4"/>
      <color rgb="FF001033"/>
      <name val="Arial"/>
      <family val="2"/>
    </font>
    <font>
      <b/>
      <sz val="22"/>
      <color theme="6" tint="-0.249977111117893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b/>
      <sz val="22"/>
      <color rgb="FF001033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5" fontId="6" fillId="7" borderId="1" xfId="1" applyNumberFormat="1" applyFont="1" applyFill="1" applyBorder="1" applyAlignment="1">
      <alignment vertical="center" wrapText="1"/>
    </xf>
    <xf numFmtId="0" fontId="2" fillId="4" borderId="0" xfId="0" applyFont="1" applyFill="1"/>
    <xf numFmtId="0" fontId="7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" fontId="10" fillId="0" borderId="1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right" vertical="center" wrapText="1" inden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8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right" vertical="center" wrapText="1" indent="1"/>
    </xf>
    <xf numFmtId="0" fontId="5" fillId="3" borderId="1" xfId="0" applyFont="1" applyFill="1" applyBorder="1" applyAlignment="1">
      <alignment horizontal="right" vertical="center" wrapText="1" indent="1"/>
    </xf>
    <xf numFmtId="165" fontId="10" fillId="4" borderId="2" xfId="0" applyNumberFormat="1" applyFont="1" applyFill="1" applyBorder="1" applyAlignment="1">
      <alignment horizontal="right" vertical="center" wrapText="1" indent="1"/>
    </xf>
    <xf numFmtId="0" fontId="11" fillId="0" borderId="0" xfId="0" applyFont="1" applyAlignment="1">
      <alignment horizontal="left" wrapText="1" indent="1"/>
    </xf>
    <xf numFmtId="165" fontId="9" fillId="6" borderId="3" xfId="1" applyNumberFormat="1" applyFont="1" applyFill="1" applyBorder="1" applyAlignment="1">
      <alignment horizontal="righ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165" fontId="9" fillId="8" borderId="3" xfId="1" applyNumberFormat="1" applyFont="1" applyFill="1" applyBorder="1" applyAlignment="1">
      <alignment horizontal="right" vertical="center" wrapText="1" indent="1"/>
    </xf>
  </cellXfs>
  <cellStyles count="3">
    <cellStyle name="Currency" xfId="1" builtinId="4"/>
    <cellStyle name="Normal" xfId="0" builtinId="0"/>
    <cellStyle name="Normal 2" xfId="2" xr:uid="{397AD313-62E6-4D3B-83B1-5C0EC596C345}"/>
  </cellStyles>
  <dxfs count="0"/>
  <tableStyles count="0" defaultTableStyle="TableStyleMedium9" defaultPivotStyle="PivotStyleMedium7"/>
  <colors>
    <mruColors>
      <color rgb="FF5B9BD5"/>
      <color rgb="FF71AD47"/>
      <color rgb="FF9DC3E6"/>
      <color rgb="FFA162D0"/>
      <color rgb="FFFEE08B"/>
      <color rgb="FF3288BD"/>
      <color rgb="FF66C2A5"/>
      <color rgb="FFABDDA4"/>
      <color rgb="FFE6F598"/>
      <color rgb="FFFFF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charset="0"/>
                <a:ea typeface="Century Gothic" charset="0"/>
                <a:cs typeface="Century Gothic" charset="0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Projected vs.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charset="0"/>
              <a:ea typeface="Century Gothic" charset="0"/>
              <a:cs typeface="Century Gothic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Projected</c:v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('Event Revenue'!$B$6:$B$6,'Event Revenue'!$B$7:$B$7,'Event Revenue'!$B$8:$B$8,'Event Revenue'!$B$9:$B$9,'Event Revenue'!$B$10:$B$10,'Event Revenue'!$B$11:$B$11)</c:f>
              <c:strCache>
                <c:ptCount val="6"/>
                <c:pt idx="0">
                  <c:v>Vendors</c:v>
                </c:pt>
                <c:pt idx="1">
                  <c:v>Sponsor / Partnerships</c:v>
                </c:pt>
                <c:pt idx="2">
                  <c:v>Program Ads</c:v>
                </c:pt>
                <c:pt idx="3">
                  <c:v>Ticket Sales</c:v>
                </c:pt>
                <c:pt idx="4">
                  <c:v>Product Sales</c:v>
                </c:pt>
                <c:pt idx="5">
                  <c:v>Other</c:v>
                </c:pt>
              </c:strCache>
            </c:strRef>
          </c:cat>
          <c:val>
            <c:numRef>
              <c:f>'Event Revenue'!$F$6:$F$11</c:f>
              <c:numCache>
                <c:formatCode>"$"#,##0.00</c:formatCode>
                <c:ptCount val="6"/>
                <c:pt idx="0">
                  <c:v>141000</c:v>
                </c:pt>
                <c:pt idx="1">
                  <c:v>18600</c:v>
                </c:pt>
                <c:pt idx="2">
                  <c:v>191100</c:v>
                </c:pt>
                <c:pt idx="3">
                  <c:v>30000</c:v>
                </c:pt>
                <c:pt idx="4">
                  <c:v>11400</c:v>
                </c:pt>
                <c:pt idx="5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9-42CD-A2D8-918C2D755D44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('Event Revenue'!$B$6:$B$6,'Event Revenue'!$B$7:$B$7,'Event Revenue'!$B$8:$B$8,'Event Revenue'!$B$9:$B$9,'Event Revenue'!$B$10:$B$10,'Event Revenue'!$B$11:$B$11)</c:f>
              <c:strCache>
                <c:ptCount val="6"/>
                <c:pt idx="0">
                  <c:v>Vendors</c:v>
                </c:pt>
                <c:pt idx="1">
                  <c:v>Sponsor / Partnerships</c:v>
                </c:pt>
                <c:pt idx="2">
                  <c:v>Program Ads</c:v>
                </c:pt>
                <c:pt idx="3">
                  <c:v>Ticket Sales</c:v>
                </c:pt>
                <c:pt idx="4">
                  <c:v>Product Sales</c:v>
                </c:pt>
                <c:pt idx="5">
                  <c:v>Other</c:v>
                </c:pt>
              </c:strCache>
            </c:strRef>
          </c:cat>
          <c:val>
            <c:numRef>
              <c:f>'Event Revenue'!$G$6:$G$11</c:f>
              <c:numCache>
                <c:formatCode>"$"#,##0.00</c:formatCode>
                <c:ptCount val="6"/>
                <c:pt idx="0">
                  <c:v>153000</c:v>
                </c:pt>
                <c:pt idx="1">
                  <c:v>24800</c:v>
                </c:pt>
                <c:pt idx="2">
                  <c:v>203350</c:v>
                </c:pt>
                <c:pt idx="3">
                  <c:v>33450</c:v>
                </c:pt>
                <c:pt idx="4">
                  <c:v>9424</c:v>
                </c:pt>
                <c:pt idx="5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09-42CD-A2D8-918C2D755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0291248"/>
        <c:axId val="420303008"/>
      </c:barChart>
      <c:catAx>
        <c:axId val="42029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Century Gothic" charset="0"/>
                <a:cs typeface="Arial" panose="020B0604020202020204" pitchFamily="34" charset="0"/>
              </a:defRPr>
            </a:pPr>
            <a:endParaRPr lang="pt-BR"/>
          </a:p>
        </c:txPr>
        <c:crossAx val="420303008"/>
        <c:crossesAt val="0"/>
        <c:auto val="1"/>
        <c:lblAlgn val="ctr"/>
        <c:lblOffset val="100"/>
        <c:noMultiLvlLbl val="0"/>
      </c:catAx>
      <c:valAx>
        <c:axId val="4203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Century Gothic" charset="0"/>
                <a:cs typeface="Arial" panose="020B0604020202020204" pitchFamily="34" charset="0"/>
              </a:defRPr>
            </a:pPr>
            <a:endParaRPr lang="pt-BR"/>
          </a:p>
        </c:txPr>
        <c:crossAx val="42029124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Century Gothic" charset="0"/>
                <a:cs typeface="Arial" panose="020B0604020202020204" pitchFamily="34" charset="0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Century Gothic" charset="0"/>
                <a:cs typeface="Arial" panose="020B0604020202020204" pitchFamily="34" charset="0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Century Gothic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entury Gothic" charset="0"/>
          <a:ea typeface="Century Gothic" charset="0"/>
          <a:cs typeface="Century Gothic" charset="0"/>
        </a:defRPr>
      </a:pPr>
      <a:endParaRPr lang="pt-B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Actual Revenue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tx>
            <c:v>Actual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51-E449-A5D7-761B251B989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51-E449-A5D7-761B251B989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51-E449-A5D7-761B251B9898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51-E449-A5D7-761B251B9898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51-E449-A5D7-761B251B9898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351-E449-A5D7-761B251B9898}"/>
              </c:ext>
            </c:extLst>
          </c:dPt>
          <c:cat>
            <c:strRef>
              <c:f>'Event Revenue'!$B$6:$B$11</c:f>
              <c:strCache>
                <c:ptCount val="6"/>
                <c:pt idx="0">
                  <c:v>Vendors</c:v>
                </c:pt>
                <c:pt idx="1">
                  <c:v>Sponsor / Partnerships</c:v>
                </c:pt>
                <c:pt idx="2">
                  <c:v>Program Ads</c:v>
                </c:pt>
                <c:pt idx="3">
                  <c:v>Ticket Sales</c:v>
                </c:pt>
                <c:pt idx="4">
                  <c:v>Product Sales</c:v>
                </c:pt>
                <c:pt idx="5">
                  <c:v>Other</c:v>
                </c:pt>
              </c:strCache>
            </c:strRef>
          </c:cat>
          <c:val>
            <c:numRef>
              <c:f>'Event Revenue'!$G$6:$G$11</c:f>
              <c:numCache>
                <c:formatCode>"$"#,##0.00</c:formatCode>
                <c:ptCount val="6"/>
                <c:pt idx="0">
                  <c:v>153000</c:v>
                </c:pt>
                <c:pt idx="1">
                  <c:v>24800</c:v>
                </c:pt>
                <c:pt idx="2">
                  <c:v>203350</c:v>
                </c:pt>
                <c:pt idx="3">
                  <c:v>33450</c:v>
                </c:pt>
                <c:pt idx="4">
                  <c:v>9424</c:v>
                </c:pt>
                <c:pt idx="5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6F-1A48-AA5A-9EAD3BE30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449391</xdr:colOff>
      <xdr:row>4</xdr:row>
      <xdr:rowOff>23426</xdr:rowOff>
    </xdr:from>
    <xdr:to>
      <xdr:col>17</xdr:col>
      <xdr:colOff>601791</xdr:colOff>
      <xdr:row>28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27115</xdr:colOff>
      <xdr:row>13</xdr:row>
      <xdr:rowOff>76200</xdr:rowOff>
    </xdr:from>
    <xdr:to>
      <xdr:col>6</xdr:col>
      <xdr:colOff>425622</xdr:colOff>
      <xdr:row>27</xdr:row>
      <xdr:rowOff>198484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00457A-1441-0B42-99DB-322F6B9B8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ISO-27002-Information-Security-Guidelines-Checklist-Template1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asmm2/OneDrive/Desktop/Batches/5.31.2025%20Update%20Construction%20Estimate%20Templates/3%20Contractor%20Estimate%20Template/IC-Contractor-Estimate-Template.xlsx" TargetMode="External"/><Relationship Id="rId2" Type="http://schemas.openxmlformats.org/officeDocument/2006/relationships/externalLinkPath" Target="file:///C:\Users\asmm2\OneDrive\Desktop\Batches\5.31.2025%20Update%20Construction%20Estimate%20Templates\3%20Contractor%20Estimate%20Template\IC-Contractor-Estimate-Template.xlsx" TargetMode="External"/><Relationship Id="rId1" Type="http://schemas.openxmlformats.org/officeDocument/2006/relationships/externalLinkPath" Target="/Users/asmm2/OneDrive/Desktop/Batches/5.31.2025%20Update%20Construction%20Estimate%20Templates/3%20Contractor%20Estimate%20Template/IC-Contractor-Estimate-Templ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O 27002 Info Security Check"/>
      <sheetName val="-Disclaimer-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ractor Estimate Template"/>
      <sheetName val="Dropdown Keys - Do Not Delete -"/>
      <sheetName val="- Disclaimer -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A1:G12"/>
  <sheetViews>
    <sheetView showGridLines="0" tabSelected="1" zoomScaleNormal="100" workbookViewId="0">
      <selection activeCell="F32" sqref="F32"/>
    </sheetView>
  </sheetViews>
  <sheetFormatPr defaultColWidth="11" defaultRowHeight="15" x14ac:dyDescent="0.2"/>
  <cols>
    <col min="1" max="1" width="3.125" style="1" customWidth="1"/>
    <col min="2" max="2" width="28" style="14" customWidth="1"/>
    <col min="3" max="5" width="12.625" style="14" customWidth="1"/>
    <col min="6" max="7" width="13.125" style="15" customWidth="1"/>
    <col min="8" max="8" width="3.125" style="1" customWidth="1"/>
    <col min="9" max="18" width="11" style="1"/>
    <col min="19" max="19" width="3.125" style="1" customWidth="1"/>
    <col min="20" max="16384" width="11" style="1"/>
  </cols>
  <sheetData>
    <row r="1" spans="1:7" ht="45" customHeight="1" x14ac:dyDescent="0.2">
      <c r="B1" s="2" t="s">
        <v>6</v>
      </c>
      <c r="C1" s="3"/>
      <c r="D1" s="3"/>
      <c r="E1" s="3"/>
      <c r="F1" s="4"/>
      <c r="G1" s="4"/>
    </row>
    <row r="2" spans="1:7" ht="24" customHeight="1" x14ac:dyDescent="0.2">
      <c r="B2" s="19" t="s">
        <v>11</v>
      </c>
      <c r="C2" s="5">
        <f>SUM(F6:F11)</f>
        <v>395100</v>
      </c>
      <c r="D2" s="1"/>
      <c r="E2" s="1"/>
      <c r="F2" s="1"/>
      <c r="G2" s="1"/>
    </row>
    <row r="3" spans="1:7" ht="24" customHeight="1" x14ac:dyDescent="0.2">
      <c r="B3" s="18" t="s">
        <v>12</v>
      </c>
      <c r="C3" s="5">
        <f>SUM(G6:G11)</f>
        <v>430024</v>
      </c>
      <c r="D3" s="1"/>
      <c r="E3" s="1"/>
      <c r="F3" s="1"/>
      <c r="G3" s="1"/>
    </row>
    <row r="4" spans="1:7" s="6" customFormat="1" ht="12" customHeight="1" x14ac:dyDescent="0.2">
      <c r="B4" s="7"/>
      <c r="C4" s="8"/>
      <c r="D4" s="9"/>
      <c r="E4" s="9"/>
    </row>
    <row r="5" spans="1:7" ht="36" customHeight="1" x14ac:dyDescent="0.2">
      <c r="B5" s="26" t="s">
        <v>9</v>
      </c>
      <c r="C5" s="23" t="s">
        <v>7</v>
      </c>
      <c r="D5" s="23" t="s">
        <v>8</v>
      </c>
      <c r="E5" s="10" t="s">
        <v>10</v>
      </c>
      <c r="F5" s="16" t="s">
        <v>13</v>
      </c>
      <c r="G5" s="17" t="s">
        <v>14</v>
      </c>
    </row>
    <row r="6" spans="1:7" ht="18" customHeight="1" x14ac:dyDescent="0.2">
      <c r="A6" s="11"/>
      <c r="B6" s="24" t="s">
        <v>1</v>
      </c>
      <c r="C6" s="12">
        <v>47</v>
      </c>
      <c r="D6" s="12">
        <v>51</v>
      </c>
      <c r="E6" s="20">
        <v>3000</v>
      </c>
      <c r="F6" s="27">
        <f>C6*E6</f>
        <v>141000</v>
      </c>
      <c r="G6" s="22">
        <f>D6*E6</f>
        <v>153000</v>
      </c>
    </row>
    <row r="7" spans="1:7" ht="18" customHeight="1" x14ac:dyDescent="0.2">
      <c r="A7" s="11"/>
      <c r="B7" s="25" t="s">
        <v>2</v>
      </c>
      <c r="C7" s="12">
        <v>3</v>
      </c>
      <c r="D7" s="12">
        <v>4</v>
      </c>
      <c r="E7" s="13">
        <v>6200</v>
      </c>
      <c r="F7" s="27">
        <f t="shared" ref="F7:F11" si="0">C7*E7</f>
        <v>18600</v>
      </c>
      <c r="G7" s="22">
        <f t="shared" ref="G7:G11" si="1">D7*E7</f>
        <v>24800</v>
      </c>
    </row>
    <row r="8" spans="1:7" ht="18" customHeight="1" x14ac:dyDescent="0.2">
      <c r="A8" s="11"/>
      <c r="B8" s="25" t="s">
        <v>3</v>
      </c>
      <c r="C8" s="12">
        <v>78</v>
      </c>
      <c r="D8" s="12">
        <v>83</v>
      </c>
      <c r="E8" s="13">
        <v>2450</v>
      </c>
      <c r="F8" s="27">
        <f t="shared" si="0"/>
        <v>191100</v>
      </c>
      <c r="G8" s="22">
        <f t="shared" si="1"/>
        <v>203350</v>
      </c>
    </row>
    <row r="9" spans="1:7" ht="18" customHeight="1" x14ac:dyDescent="0.2">
      <c r="A9" s="11"/>
      <c r="B9" s="25" t="s">
        <v>4</v>
      </c>
      <c r="C9" s="12">
        <v>1000</v>
      </c>
      <c r="D9" s="12">
        <v>1115</v>
      </c>
      <c r="E9" s="13">
        <v>30</v>
      </c>
      <c r="F9" s="27">
        <f t="shared" si="0"/>
        <v>30000</v>
      </c>
      <c r="G9" s="22">
        <f t="shared" si="1"/>
        <v>33450</v>
      </c>
    </row>
    <row r="10" spans="1:7" ht="18" customHeight="1" x14ac:dyDescent="0.2">
      <c r="A10" s="11"/>
      <c r="B10" s="25" t="s">
        <v>5</v>
      </c>
      <c r="C10" s="12">
        <v>300</v>
      </c>
      <c r="D10" s="12">
        <v>248</v>
      </c>
      <c r="E10" s="13">
        <v>38</v>
      </c>
      <c r="F10" s="27">
        <f t="shared" si="0"/>
        <v>11400</v>
      </c>
      <c r="G10" s="22">
        <f t="shared" si="1"/>
        <v>9424</v>
      </c>
    </row>
    <row r="11" spans="1:7" ht="18" customHeight="1" x14ac:dyDescent="0.2">
      <c r="A11" s="11"/>
      <c r="B11" s="25" t="s">
        <v>0</v>
      </c>
      <c r="C11" s="12">
        <v>150</v>
      </c>
      <c r="D11" s="12">
        <v>300</v>
      </c>
      <c r="E11" s="13">
        <v>20</v>
      </c>
      <c r="F11" s="27">
        <f t="shared" si="0"/>
        <v>3000</v>
      </c>
      <c r="G11" s="22">
        <f t="shared" si="1"/>
        <v>6000</v>
      </c>
    </row>
    <row r="12" spans="1:7" ht="15.75" x14ac:dyDescent="0.25">
      <c r="B12" s="21"/>
    </row>
  </sheetData>
  <pageMargins left="0.4" right="0.4" top="0.4" bottom="0.4" header="0" footer="0"/>
  <pageSetup scale="46" orientation="landscape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</dc:creator>
  <cp:lastModifiedBy>David Gutierrez</cp:lastModifiedBy>
  <cp:lastPrinted>2025-06-13T18:36:07Z</cp:lastPrinted>
  <dcterms:created xsi:type="dcterms:W3CDTF">2016-05-31T16:01:17Z</dcterms:created>
  <dcterms:modified xsi:type="dcterms:W3CDTF">2026-03-31T15:09:34Z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2026-02-24T21:11:48Z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0a0cdb8e-b957-48f0-b269-347ed41f5b17</vt:lpwstr>
  </property>
  <property fmtid="{D5CDD505-2E9C-101B-9397-08002B2CF9AE}" pid="7" name="MSIP_Label_defa4170-0d19-0005-0004-bc88714345d2_ActionId">
    <vt:lpwstr>08589ecb-2101-4fe3-b3e6-6b03479549b1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